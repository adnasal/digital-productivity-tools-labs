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sstedu-my.sharepoint.com/personal/belma_ramic_ssst_edu_ba/Documents/COURSES/CSIS101 Introduction to CSIS/Labs/CSIS101_Lab_week10/"/>
    </mc:Choice>
  </mc:AlternateContent>
  <xr:revisionPtr revIDLastSave="0" documentId="11_4A4BD2314A8BFD3638F582700D1B02FCC6CD50CD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uarterly Sales" sheetId="1" r:id="rId1"/>
    <sheet name="Income Statement" sheetId="2" r:id="rId2"/>
    <sheet name="Comparison Chart" sheetId="3" r:id="rId3"/>
    <sheet name="Cost Pie Char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B6" i="2"/>
  <c r="E6" i="2" s="1"/>
  <c r="C6" i="2"/>
  <c r="D6" i="2"/>
  <c r="E9" i="2"/>
  <c r="E10" i="2"/>
  <c r="E11" i="2"/>
  <c r="B12" i="2"/>
  <c r="C12" i="2"/>
  <c r="C14" i="2" s="1"/>
  <c r="D12" i="2"/>
  <c r="B14" i="2"/>
  <c r="D14" i="2"/>
  <c r="E17" i="2"/>
  <c r="E18" i="2"/>
  <c r="E19" i="2"/>
  <c r="B20" i="2"/>
  <c r="B23" i="2" s="1"/>
  <c r="C20" i="2"/>
  <c r="D20" i="2"/>
  <c r="D23" i="2"/>
  <c r="F7" i="1"/>
  <c r="F8" i="1"/>
  <c r="F9" i="1"/>
  <c r="F10" i="1"/>
  <c r="F11" i="1"/>
  <c r="F12" i="1"/>
  <c r="F13" i="1"/>
  <c r="F14" i="1"/>
  <c r="F6" i="1"/>
  <c r="B15" i="1"/>
  <c r="C15" i="1"/>
  <c r="D15" i="1"/>
  <c r="E15" i="1"/>
  <c r="E12" i="2" l="1"/>
  <c r="E14" i="2"/>
  <c r="C23" i="2"/>
  <c r="E23" i="2" s="1"/>
  <c r="F15" i="1"/>
  <c r="E20" i="2"/>
</calcChain>
</file>

<file path=xl/sharedStrings.xml><?xml version="1.0" encoding="utf-8"?>
<sst xmlns="http://schemas.openxmlformats.org/spreadsheetml/2006/main" count="41" uniqueCount="39">
  <si>
    <t>Guitar Stop</t>
  </si>
  <si>
    <t>Quarterly Sales</t>
  </si>
  <si>
    <t>(in thousands)</t>
  </si>
  <si>
    <t>Store (Store #)</t>
  </si>
  <si>
    <t>Qtr1</t>
  </si>
  <si>
    <t>Qtr2</t>
  </si>
  <si>
    <t>Qtr3</t>
  </si>
  <si>
    <t>Qtr4</t>
  </si>
  <si>
    <t>Total</t>
  </si>
  <si>
    <t>Belleville (213)</t>
  </si>
  <si>
    <t>Concord (211)</t>
  </si>
  <si>
    <t>Fremont (215)</t>
  </si>
  <si>
    <t>Greenlake (217)</t>
  </si>
  <si>
    <t>Monroe (218)</t>
  </si>
  <si>
    <t>Natick (214)</t>
  </si>
  <si>
    <t>Olympia (212)</t>
  </si>
  <si>
    <t>Sacramento (219)</t>
  </si>
  <si>
    <t>San Diego (216)</t>
  </si>
  <si>
    <t>Income Statement (Guitar Line)</t>
  </si>
  <si>
    <t>Standard</t>
  </si>
  <si>
    <t>Classic</t>
  </si>
  <si>
    <t>Deluxe</t>
  </si>
  <si>
    <t>Sales Figures</t>
  </si>
  <si>
    <t>Units Sold</t>
  </si>
  <si>
    <t>Price (per unit)</t>
  </si>
  <si>
    <t>Net Sales</t>
  </si>
  <si>
    <t>Cost of Goods</t>
  </si>
  <si>
    <t>Labor</t>
  </si>
  <si>
    <t>Material</t>
  </si>
  <si>
    <t>Equipment</t>
  </si>
  <si>
    <t>Total (Cost of Goods)</t>
  </si>
  <si>
    <t>Gross Profit</t>
  </si>
  <si>
    <t>Operating Expenses</t>
  </si>
  <si>
    <t>Marketing</t>
  </si>
  <si>
    <t>Administration</t>
  </si>
  <si>
    <t>Misc. Expense</t>
  </si>
  <si>
    <t>Total (Operating Expenses)</t>
  </si>
  <si>
    <t>Projected Income</t>
  </si>
  <si>
    <t>Earnings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</si>
</sst>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&quot;$&quot;#,##0"/>
    <numFmt numFmtId="165" formatCode="&quot;$&quot;#,##0"/>
  </numFmts>
  <fonts count="18"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4"/>
      <name val="Arial Black"/>
      <family val="2"/>
    </font>
    <font>
      <sz val="8"/>
      <name val="Arial"/>
      <family val="2"/>
    </font>
    <font>
      <b/>
      <sz val="16"/>
      <name val="Arial"/>
      <family val="2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name val="Arial"/>
      <family val="2"/>
    </font>
    <font>
      <sz val="10"/>
      <color indexed="18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">
    <xf numFmtId="0" fontId="0" fillId="0" borderId="0"/>
    <xf numFmtId="0" fontId="7" fillId="0" borderId="11" applyNumberFormat="0" applyFill="0" applyAlignment="0" applyProtection="0"/>
    <xf numFmtId="0" fontId="8" fillId="0" borderId="9" applyNumberFormat="0" applyFill="0" applyAlignment="0" applyProtection="0"/>
    <xf numFmtId="164" fontId="1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0" applyNumberFormat="0" applyFill="0" applyAlignment="0" applyProtection="0"/>
    <xf numFmtId="0" fontId="16" fillId="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164" fontId="2" fillId="0" borderId="1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164" fontId="2" fillId="0" borderId="7" xfId="0" applyNumberFormat="1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10" fontId="0" fillId="0" borderId="0" xfId="0" applyNumberFormat="1"/>
    <xf numFmtId="165" fontId="7" fillId="0" borderId="11" xfId="1" applyNumberFormat="1"/>
    <xf numFmtId="0" fontId="7" fillId="0" borderId="11" xfId="1"/>
    <xf numFmtId="165" fontId="8" fillId="0" borderId="9" xfId="2" applyNumberFormat="1"/>
    <xf numFmtId="0" fontId="8" fillId="0" borderId="9" xfId="2"/>
    <xf numFmtId="165" fontId="9" fillId="0" borderId="0" xfId="0" applyNumberFormat="1" applyFont="1"/>
    <xf numFmtId="165" fontId="0" fillId="0" borderId="0" xfId="0" applyNumberFormat="1"/>
    <xf numFmtId="0" fontId="10" fillId="0" borderId="0" xfId="0" applyFont="1"/>
    <xf numFmtId="165" fontId="12" fillId="0" borderId="0" xfId="3" applyNumberFormat="1" applyFont="1" applyBorder="1"/>
    <xf numFmtId="165" fontId="13" fillId="0" borderId="0" xfId="0" applyNumberFormat="1" applyFont="1"/>
    <xf numFmtId="0" fontId="14" fillId="0" borderId="0" xfId="4" applyAlignment="1">
      <alignment horizontal="left" indent="1"/>
    </xf>
    <xf numFmtId="165" fontId="12" fillId="0" borderId="0" xfId="3" applyNumberFormat="1" applyFont="1"/>
    <xf numFmtId="165" fontId="15" fillId="0" borderId="10" xfId="5" applyNumberFormat="1"/>
    <xf numFmtId="0" fontId="15" fillId="0" borderId="10" xfId="5"/>
    <xf numFmtId="165" fontId="9" fillId="0" borderId="0" xfId="3" applyNumberFormat="1" applyFont="1"/>
    <xf numFmtId="165" fontId="9" fillId="0" borderId="0" xfId="3" applyNumberFormat="1" applyFont="1" applyBorder="1"/>
    <xf numFmtId="165" fontId="13" fillId="0" borderId="0" xfId="0" applyNumberFormat="1" applyFont="1" applyAlignment="1">
      <alignment horizontal="right"/>
    </xf>
    <xf numFmtId="3" fontId="12" fillId="0" borderId="0" xfId="0" applyNumberFormat="1" applyFont="1"/>
    <xf numFmtId="3" fontId="13" fillId="0" borderId="0" xfId="0" applyNumberFormat="1" applyFont="1"/>
    <xf numFmtId="0" fontId="16" fillId="2" borderId="0" xfId="6" applyAlignment="1">
      <alignment horizontal="center"/>
    </xf>
    <xf numFmtId="0" fontId="17" fillId="0" borderId="9" xfId="7" applyBorder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7" fillId="0" borderId="9" xfId="7" applyBorder="1" applyAlignment="1">
      <alignment horizontal="center"/>
    </xf>
  </cellXfs>
  <cellStyles count="8">
    <cellStyle name="Accent1 2" xfId="6" xr:uid="{00000000-0005-0000-0000-000000000000}"/>
    <cellStyle name="Currency 2" xfId="3" xr:uid="{00000000-0005-0000-0000-000001000000}"/>
    <cellStyle name="Heading 1 2" xfId="2" xr:uid="{00000000-0005-0000-0000-000002000000}"/>
    <cellStyle name="Heading 2 2" xfId="5" xr:uid="{00000000-0005-0000-0000-000003000000}"/>
    <cellStyle name="Heading 4 2" xfId="4" xr:uid="{00000000-0005-0000-0000-000004000000}"/>
    <cellStyle name="Normal" xfId="0" builtinId="0"/>
    <cellStyle name="Title 2" xfId="7" xr:uid="{00000000-0005-0000-0000-000006000000}"/>
    <cellStyle name="Total 2" xfId="1" xr:uid="{00000000-0005-0000-0000-000007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&quot;$&quot;#,##0;[Red]&quot;$&quot;#,##0"/>
      <alignment horizontal="righ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&quot;$&quot;#,##0;[Red]&quot;$&quot;#,##0"/>
      <alignment horizontal="right" vertical="bottom" textRotation="0" wrapText="0" relative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&quot;$&quot;#,##0;[Red]&quot;$&quot;#,##0"/>
      <alignment horizontal="righ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&quot;$&quot;#,##0;[Red]&quot;$&quot;#,##0"/>
      <alignment horizontal="righ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&quot;$&quot;#,##0;[Red]&quot;$&quot;#,##0"/>
      <alignment horizontal="right" vertical="bottom" textRotation="0" wrapText="0" relative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right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Quarterly Sales Charts</a:t>
            </a:r>
          </a:p>
        </c:rich>
      </c:tx>
      <c:layout>
        <c:manualLayout>
          <c:xMode val="edge"/>
          <c:yMode val="edge"/>
          <c:x val="0.32876743743830783"/>
          <c:y val="3.14961437216610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765185226945875"/>
          <c:y val="0.18635218368649475"/>
          <c:w val="0.66731962003847134"/>
          <c:h val="0.40157583245117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'Quarterly Sales'!$B$5</c:f>
              <c:strCache>
                <c:ptCount val="1"/>
                <c:pt idx="0">
                  <c:v>Qtr1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'Quarterly Sales'!$A$6:$A$14</c:f>
              <c:strCache>
                <c:ptCount val="9"/>
                <c:pt idx="0">
                  <c:v>Belleville (213)</c:v>
                </c:pt>
                <c:pt idx="1">
                  <c:v>Concord (211)</c:v>
                </c:pt>
                <c:pt idx="2">
                  <c:v>Fremont (215)</c:v>
                </c:pt>
                <c:pt idx="3">
                  <c:v>Greenlake (217)</c:v>
                </c:pt>
                <c:pt idx="4">
                  <c:v>Monroe (218)</c:v>
                </c:pt>
                <c:pt idx="5">
                  <c:v>Natick (214)</c:v>
                </c:pt>
                <c:pt idx="6">
                  <c:v>Olympia (212)</c:v>
                </c:pt>
                <c:pt idx="7">
                  <c:v>Sacramento (219)</c:v>
                </c:pt>
                <c:pt idx="8">
                  <c:v>San Diego (216)</c:v>
                </c:pt>
              </c:strCache>
            </c:strRef>
          </c:cat>
          <c:val>
            <c:numRef>
              <c:f>'Quarterly Sales'!$B$6:$B$14</c:f>
              <c:numCache>
                <c:formatCode>"$"#,##0;[Red]"$"#,##0</c:formatCode>
                <c:ptCount val="9"/>
                <c:pt idx="0">
                  <c:v>120</c:v>
                </c:pt>
                <c:pt idx="1">
                  <c:v>654</c:v>
                </c:pt>
                <c:pt idx="2">
                  <c:v>1358</c:v>
                </c:pt>
                <c:pt idx="3">
                  <c:v>496</c:v>
                </c:pt>
                <c:pt idx="4">
                  <c:v>354</c:v>
                </c:pt>
                <c:pt idx="5">
                  <c:v>255</c:v>
                </c:pt>
                <c:pt idx="6">
                  <c:v>1422</c:v>
                </c:pt>
                <c:pt idx="7">
                  <c:v>854</c:v>
                </c:pt>
                <c:pt idx="8">
                  <c:v>1209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7-4308-8725-366B04EAA557}"/>
            </c:ext>
          </c:extLst>
        </c:ser>
        <c:ser>
          <c:idx val="1"/>
          <c:order val="1"/>
          <c:tx>
            <c:strRef>
              <c:f>'Quarterly Sales'!$C$5</c:f>
              <c:strCache>
                <c:ptCount val="1"/>
                <c:pt idx="0">
                  <c:v>Qtr2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'Quarterly Sales'!$A$6:$A$14</c:f>
              <c:strCache>
                <c:ptCount val="9"/>
                <c:pt idx="0">
                  <c:v>Belleville (213)</c:v>
                </c:pt>
                <c:pt idx="1">
                  <c:v>Concord (211)</c:v>
                </c:pt>
                <c:pt idx="2">
                  <c:v>Fremont (215)</c:v>
                </c:pt>
                <c:pt idx="3">
                  <c:v>Greenlake (217)</c:v>
                </c:pt>
                <c:pt idx="4">
                  <c:v>Monroe (218)</c:v>
                </c:pt>
                <c:pt idx="5">
                  <c:v>Natick (214)</c:v>
                </c:pt>
                <c:pt idx="6">
                  <c:v>Olympia (212)</c:v>
                </c:pt>
                <c:pt idx="7">
                  <c:v>Sacramento (219)</c:v>
                </c:pt>
                <c:pt idx="8">
                  <c:v>San Diego (216)</c:v>
                </c:pt>
              </c:strCache>
            </c:strRef>
          </c:cat>
          <c:val>
            <c:numRef>
              <c:f>'Quarterly Sales'!$C$6:$C$14</c:f>
              <c:numCache>
                <c:formatCode>"$"#,##0;[Red]"$"#,##0</c:formatCode>
                <c:ptCount val="9"/>
                <c:pt idx="0">
                  <c:v>154</c:v>
                </c:pt>
                <c:pt idx="1">
                  <c:v>634</c:v>
                </c:pt>
                <c:pt idx="2">
                  <c:v>967</c:v>
                </c:pt>
                <c:pt idx="3">
                  <c:v>532</c:v>
                </c:pt>
                <c:pt idx="4">
                  <c:v>633</c:v>
                </c:pt>
                <c:pt idx="5">
                  <c:v>525</c:v>
                </c:pt>
                <c:pt idx="6">
                  <c:v>1431</c:v>
                </c:pt>
                <c:pt idx="7">
                  <c:v>364</c:v>
                </c:pt>
                <c:pt idx="8">
                  <c:v>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57-4308-8725-366B04EAA557}"/>
            </c:ext>
          </c:extLst>
        </c:ser>
        <c:ser>
          <c:idx val="2"/>
          <c:order val="2"/>
          <c:tx>
            <c:strRef>
              <c:f>'Quarterly Sales'!$D$5</c:f>
              <c:strCache>
                <c:ptCount val="1"/>
                <c:pt idx="0">
                  <c:v>Qtr3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'Quarterly Sales'!$A$6:$A$14</c:f>
              <c:strCache>
                <c:ptCount val="9"/>
                <c:pt idx="0">
                  <c:v>Belleville (213)</c:v>
                </c:pt>
                <c:pt idx="1">
                  <c:v>Concord (211)</c:v>
                </c:pt>
                <c:pt idx="2">
                  <c:v>Fremont (215)</c:v>
                </c:pt>
                <c:pt idx="3">
                  <c:v>Greenlake (217)</c:v>
                </c:pt>
                <c:pt idx="4">
                  <c:v>Monroe (218)</c:v>
                </c:pt>
                <c:pt idx="5">
                  <c:v>Natick (214)</c:v>
                </c:pt>
                <c:pt idx="6">
                  <c:v>Olympia (212)</c:v>
                </c:pt>
                <c:pt idx="7">
                  <c:v>Sacramento (219)</c:v>
                </c:pt>
                <c:pt idx="8">
                  <c:v>San Diego (216)</c:v>
                </c:pt>
              </c:strCache>
            </c:strRef>
          </c:cat>
          <c:val>
            <c:numRef>
              <c:f>'Quarterly Sales'!$D$6:$D$14</c:f>
              <c:numCache>
                <c:formatCode>"$"#,##0;[Red]"$"#,##0</c:formatCode>
                <c:ptCount val="9"/>
                <c:pt idx="0">
                  <c:v>167</c:v>
                </c:pt>
                <c:pt idx="1">
                  <c:v>326</c:v>
                </c:pt>
                <c:pt idx="2">
                  <c:v>1498</c:v>
                </c:pt>
                <c:pt idx="3">
                  <c:v>525</c:v>
                </c:pt>
                <c:pt idx="4">
                  <c:v>422</c:v>
                </c:pt>
                <c:pt idx="5">
                  <c:v>252</c:v>
                </c:pt>
                <c:pt idx="6">
                  <c:v>1254</c:v>
                </c:pt>
                <c:pt idx="7">
                  <c:v>474</c:v>
                </c:pt>
                <c:pt idx="8">
                  <c:v>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57-4308-8725-366B04EAA557}"/>
            </c:ext>
          </c:extLst>
        </c:ser>
        <c:ser>
          <c:idx val="3"/>
          <c:order val="3"/>
          <c:tx>
            <c:strRef>
              <c:f>'Quarterly Sales'!$E$5</c:f>
              <c:strCache>
                <c:ptCount val="1"/>
                <c:pt idx="0">
                  <c:v>Qtr4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'Quarterly Sales'!$A$6:$A$14</c:f>
              <c:strCache>
                <c:ptCount val="9"/>
                <c:pt idx="0">
                  <c:v>Belleville (213)</c:v>
                </c:pt>
                <c:pt idx="1">
                  <c:v>Concord (211)</c:v>
                </c:pt>
                <c:pt idx="2">
                  <c:v>Fremont (215)</c:v>
                </c:pt>
                <c:pt idx="3">
                  <c:v>Greenlake (217)</c:v>
                </c:pt>
                <c:pt idx="4">
                  <c:v>Monroe (218)</c:v>
                </c:pt>
                <c:pt idx="5">
                  <c:v>Natick (214)</c:v>
                </c:pt>
                <c:pt idx="6">
                  <c:v>Olympia (212)</c:v>
                </c:pt>
                <c:pt idx="7">
                  <c:v>Sacramento (219)</c:v>
                </c:pt>
                <c:pt idx="8">
                  <c:v>San Diego (216)</c:v>
                </c:pt>
              </c:strCache>
            </c:strRef>
          </c:cat>
          <c:val>
            <c:numRef>
              <c:f>'Quarterly Sales'!$E$6:$E$14</c:f>
              <c:numCache>
                <c:formatCode>"$"#,##0;[Red]"$"#,##0</c:formatCode>
                <c:ptCount val="9"/>
                <c:pt idx="0">
                  <c:v>175</c:v>
                </c:pt>
                <c:pt idx="1">
                  <c:v>754</c:v>
                </c:pt>
                <c:pt idx="2">
                  <c:v>1598</c:v>
                </c:pt>
                <c:pt idx="3">
                  <c:v>652</c:v>
                </c:pt>
                <c:pt idx="4">
                  <c:v>876</c:v>
                </c:pt>
                <c:pt idx="5">
                  <c:v>624</c:v>
                </c:pt>
                <c:pt idx="6">
                  <c:v>1439</c:v>
                </c:pt>
                <c:pt idx="7">
                  <c:v>743</c:v>
                </c:pt>
                <c:pt idx="8">
                  <c:v>1687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57-4308-8725-366B04EAA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789440"/>
        <c:axId val="57423360"/>
      </c:barChart>
      <c:catAx>
        <c:axId val="57789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Stores</a:t>
                </a:r>
              </a:p>
            </c:rich>
          </c:tx>
          <c:layout>
            <c:manualLayout>
              <c:xMode val="edge"/>
              <c:yMode val="edge"/>
              <c:x val="0.44031353228344827"/>
              <c:y val="0.897640096067339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423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7423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Sales Per Quarter</a:t>
                </a:r>
              </a:p>
            </c:rich>
          </c:tx>
          <c:layout>
            <c:manualLayout>
              <c:xMode val="edge"/>
              <c:yMode val="edge"/>
              <c:x val="3.1311184517934083E-2"/>
              <c:y val="0.21784832740815546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;[Red]&quot;$&quot;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7894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649791166400871"/>
          <c:y val="0.27034190027759081"/>
          <c:w val="9.784745161854401E-2"/>
          <c:h val="0.2335963992689859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56" r="0.75000000000000056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/>
              <a:t>Guitar Line Sales/Cost Comparison</a:t>
            </a:r>
          </a:p>
        </c:rich>
      </c:tx>
      <c:layout>
        <c:manualLayout>
          <c:xMode val="edge"/>
          <c:yMode val="edge"/>
          <c:x val="0.33740288568257593"/>
          <c:y val="1.957585644371943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9889012208657063E-2"/>
          <c:y val="0.12234910277324641"/>
          <c:w val="0.72475027746948006"/>
          <c:h val="0.771615008156607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'Income Statement'!$A$6</c:f>
              <c:strCache>
                <c:ptCount val="1"/>
                <c:pt idx="0">
                  <c:v>Net Sales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Statement'!$B$2:$D$2</c:f>
              <c:strCache>
                <c:ptCount val="3"/>
                <c:pt idx="0">
                  <c:v>Standard</c:v>
                </c:pt>
                <c:pt idx="1">
                  <c:v>Classic</c:v>
                </c:pt>
                <c:pt idx="2">
                  <c:v>Deluxe</c:v>
                </c:pt>
              </c:strCache>
            </c:strRef>
          </c:cat>
          <c:val>
            <c:numRef>
              <c:f>'Income Statement'!$B$6:$D$6</c:f>
              <c:numCache>
                <c:formatCode>"$"#,##0</c:formatCode>
                <c:ptCount val="3"/>
                <c:pt idx="0">
                  <c:v>2688840</c:v>
                </c:pt>
                <c:pt idx="1">
                  <c:v>6739638</c:v>
                </c:pt>
                <c:pt idx="2">
                  <c:v>5884110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1-42B4-98D2-F056C3B30D33}"/>
            </c:ext>
          </c:extLst>
        </c:ser>
        <c:ser>
          <c:idx val="1"/>
          <c:order val="1"/>
          <c:tx>
            <c:strRef>
              <c:f>'Income Statement'!$A$12</c:f>
              <c:strCache>
                <c:ptCount val="1"/>
                <c:pt idx="0">
                  <c:v>Total (Cost of Goods)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Statement'!$B$2:$D$2</c:f>
              <c:strCache>
                <c:ptCount val="3"/>
                <c:pt idx="0">
                  <c:v>Standard</c:v>
                </c:pt>
                <c:pt idx="1">
                  <c:v>Classic</c:v>
                </c:pt>
                <c:pt idx="2">
                  <c:v>Deluxe</c:v>
                </c:pt>
              </c:strCache>
            </c:strRef>
          </c:cat>
          <c:val>
            <c:numRef>
              <c:f>'Income Statement'!$B$12:$D$12</c:f>
              <c:numCache>
                <c:formatCode>"$"#,##0</c:formatCode>
                <c:ptCount val="3"/>
                <c:pt idx="0">
                  <c:v>1030290</c:v>
                </c:pt>
                <c:pt idx="1">
                  <c:v>1364613</c:v>
                </c:pt>
                <c:pt idx="2">
                  <c:v>1542763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1-42B4-98D2-F056C3B30D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7806208"/>
        <c:axId val="57812480"/>
      </c:barChart>
      <c:catAx>
        <c:axId val="57806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Guitar Line</a:t>
                </a:r>
              </a:p>
            </c:rich>
          </c:tx>
          <c:layout>
            <c:manualLayout>
              <c:xMode val="edge"/>
              <c:yMode val="edge"/>
              <c:x val="0.41287458379578318"/>
              <c:y val="0.9445350734094616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7812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7812480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780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68479467258606"/>
          <c:y val="0.47308319738988652"/>
          <c:w val="0.15871254162042212"/>
          <c:h val="7.01468189233279E-2"/>
        </c:manualLayout>
      </c:layout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/>
              <a:t>Total Cost of Guitar Line</a:t>
            </a:r>
          </a:p>
        </c:rich>
      </c:tx>
      <c:layout>
        <c:manualLayout>
          <c:xMode val="edge"/>
          <c:yMode val="edge"/>
          <c:x val="0.39067702552719202"/>
          <c:y val="1.957585644371943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8856825749167592"/>
          <c:y val="0.23327895595432299"/>
          <c:w val="0.42286348501664883"/>
          <c:h val="0.62153344208809225"/>
        </c:manualLayout>
      </c:layout>
      <c:pieChart>
        <c:varyColors val="1"/>
        <c:ser>
          <c:idx val="0"/>
          <c:order val="0"/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'Income Statement'!$A$9:$A$11</c:f>
              <c:strCache>
                <c:ptCount val="3"/>
                <c:pt idx="0">
                  <c:v>Labor</c:v>
                </c:pt>
                <c:pt idx="1">
                  <c:v>Material</c:v>
                </c:pt>
                <c:pt idx="2">
                  <c:v>Equipment</c:v>
                </c:pt>
              </c:strCache>
            </c:strRef>
          </c:cat>
          <c:val>
            <c:numRef>
              <c:f>'Income Statement'!$E$9:$E$11</c:f>
              <c:numCache>
                <c:formatCode>"$"#,##0</c:formatCode>
                <c:ptCount val="3"/>
                <c:pt idx="0">
                  <c:v>1318905</c:v>
                </c:pt>
                <c:pt idx="1">
                  <c:v>1351326</c:v>
                </c:pt>
                <c:pt idx="2">
                  <c:v>1267435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E-4BAA-B913-3A6CB38CAD30}"/>
            </c:ext>
          </c:extLst>
        </c:ser>
        <c:dLbls>
          <c:showLegendKey val="0"/>
          <c:showVal val="1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97" workbookViewId="0"/>
  </sheetViews>
  <pageMargins left="0.75" right="0.75" top="1" bottom="1" header="0.5" footer="0.5"/>
  <pageSetup orientation="landscape" horizontalDpi="360" verticalDpi="36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97" workbookViewId="0"/>
  </sheetViews>
  <pageMargins left="0.75" right="0.75" top="1" bottom="1" header="0.5" footer="0.5"/>
  <pageSetup orientation="landscape" horizontalDpi="360" verticalDpi="36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6</xdr:col>
      <xdr:colOff>0</xdr:colOff>
      <xdr:row>38</xdr:row>
      <xdr:rowOff>66675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62680" cy="58328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62680" cy="58328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F15" totalsRowShown="0" headerRowDxfId="9" dataDxfId="8" headerRowBorderDxfId="6" tableBorderDxfId="7">
  <autoFilter ref="A5:F15" xr:uid="{00000000-0009-0000-0100-000001000000}"/>
  <tableColumns count="6">
    <tableColumn id="1" xr3:uid="{00000000-0010-0000-0000-000001000000}" name="Store (Store #)" dataDxfId="5"/>
    <tableColumn id="2" xr3:uid="{00000000-0010-0000-0000-000002000000}" name="Qtr1" dataDxfId="4"/>
    <tableColumn id="3" xr3:uid="{00000000-0010-0000-0000-000003000000}" name="Qtr2" dataDxfId="3"/>
    <tableColumn id="4" xr3:uid="{00000000-0010-0000-0000-000004000000}" name="Qtr3" dataDxfId="2"/>
    <tableColumn id="5" xr3:uid="{00000000-0010-0000-0000-000005000000}" name="Qtr4" dataDxfId="1"/>
    <tableColumn id="6" xr3:uid="{00000000-0010-0000-0000-000006000000}" name="Total" dataDxfId="0">
      <calculatedColumnFormula>SUM(B6:E6)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5"/>
  <sheetViews>
    <sheetView tabSelected="1" workbookViewId="0">
      <selection activeCell="B6" sqref="B6"/>
    </sheetView>
  </sheetViews>
  <sheetFormatPr defaultColWidth="9.140625" defaultRowHeight="12.75"/>
  <cols>
    <col min="1" max="1" width="26.85546875" customWidth="1"/>
    <col min="2" max="2" width="9.85546875" customWidth="1"/>
    <col min="3" max="3" width="9.140625" customWidth="1"/>
    <col min="4" max="4" width="9" customWidth="1"/>
    <col min="5" max="5" width="8.42578125" customWidth="1"/>
    <col min="6" max="6" width="9.7109375" customWidth="1"/>
    <col min="7" max="7" width="13.42578125" customWidth="1"/>
    <col min="8" max="8" width="9.140625" customWidth="1"/>
    <col min="9" max="9" width="13.140625" customWidth="1"/>
    <col min="10" max="10" width="12.28515625" customWidth="1"/>
    <col min="11" max="11" width="11.42578125" customWidth="1"/>
    <col min="12" max="12" width="12" customWidth="1"/>
    <col min="13" max="13" width="13" customWidth="1"/>
    <col min="15" max="15" width="12.85546875" customWidth="1"/>
    <col min="16" max="16" width="12.7109375" customWidth="1"/>
    <col min="17" max="17" width="12.28515625" customWidth="1"/>
    <col min="18" max="19" width="12.7109375" customWidth="1"/>
    <col min="21" max="21" width="12.42578125" customWidth="1"/>
    <col min="22" max="22" width="11.28515625" customWidth="1"/>
    <col min="23" max="23" width="11.140625" customWidth="1"/>
    <col min="24" max="24" width="13" customWidth="1"/>
    <col min="25" max="25" width="12.85546875" customWidth="1"/>
  </cols>
  <sheetData>
    <row r="2" spans="1:6" ht="20.25">
      <c r="A2" s="34" t="s">
        <v>0</v>
      </c>
      <c r="B2" s="34"/>
      <c r="C2" s="34"/>
      <c r="D2" s="34"/>
      <c r="E2" s="34"/>
      <c r="F2" s="34"/>
    </row>
    <row r="3" spans="1:6" s="1" customFormat="1" ht="22.5">
      <c r="A3" s="35" t="s">
        <v>1</v>
      </c>
      <c r="B3" s="35"/>
      <c r="C3" s="35"/>
      <c r="D3" s="35"/>
      <c r="E3" s="35"/>
      <c r="F3" s="35"/>
    </row>
    <row r="4" spans="1:6">
      <c r="B4" t="s">
        <v>2</v>
      </c>
    </row>
    <row r="5" spans="1:6" ht="15.75" thickBot="1">
      <c r="A5" s="6" t="s">
        <v>3</v>
      </c>
      <c r="B5" s="7" t="s">
        <v>4</v>
      </c>
      <c r="C5" s="8" t="s">
        <v>5</v>
      </c>
      <c r="D5" s="8" t="s">
        <v>6</v>
      </c>
      <c r="E5" s="6" t="s">
        <v>7</v>
      </c>
      <c r="F5" s="8" t="s">
        <v>8</v>
      </c>
    </row>
    <row r="6" spans="1:6" ht="14.25">
      <c r="A6" s="5" t="s">
        <v>9</v>
      </c>
      <c r="B6" s="2">
        <v>120</v>
      </c>
      <c r="C6" s="3">
        <v>154</v>
      </c>
      <c r="D6" s="3">
        <v>167</v>
      </c>
      <c r="E6" s="4">
        <v>175</v>
      </c>
      <c r="F6" s="3">
        <f t="shared" ref="F6:F14" si="0">SUM(B6:E6)</f>
        <v>616</v>
      </c>
    </row>
    <row r="7" spans="1:6" ht="14.25">
      <c r="A7" s="5" t="s">
        <v>10</v>
      </c>
      <c r="B7" s="2">
        <v>654</v>
      </c>
      <c r="C7" s="3">
        <v>634</v>
      </c>
      <c r="D7" s="3">
        <v>326</v>
      </c>
      <c r="E7" s="4">
        <v>754</v>
      </c>
      <c r="F7" s="3">
        <f t="shared" si="0"/>
        <v>2368</v>
      </c>
    </row>
    <row r="8" spans="1:6" ht="14.25">
      <c r="A8" s="5" t="s">
        <v>11</v>
      </c>
      <c r="B8" s="2">
        <v>1358</v>
      </c>
      <c r="C8" s="3">
        <v>967</v>
      </c>
      <c r="D8" s="3">
        <v>1498</v>
      </c>
      <c r="E8" s="4">
        <v>1598</v>
      </c>
      <c r="F8" s="3">
        <f t="shared" si="0"/>
        <v>5421</v>
      </c>
    </row>
    <row r="9" spans="1:6" ht="14.25">
      <c r="A9" s="5" t="s">
        <v>12</v>
      </c>
      <c r="B9" s="2">
        <v>496</v>
      </c>
      <c r="C9" s="3">
        <v>532</v>
      </c>
      <c r="D9" s="3">
        <v>525</v>
      </c>
      <c r="E9" s="4">
        <v>652</v>
      </c>
      <c r="F9" s="3">
        <f t="shared" si="0"/>
        <v>2205</v>
      </c>
    </row>
    <row r="10" spans="1:6" ht="14.25">
      <c r="A10" s="5" t="s">
        <v>13</v>
      </c>
      <c r="B10" s="2">
        <v>354</v>
      </c>
      <c r="C10" s="3">
        <v>633</v>
      </c>
      <c r="D10" s="3">
        <v>422</v>
      </c>
      <c r="E10" s="4">
        <v>876</v>
      </c>
      <c r="F10" s="3">
        <f t="shared" si="0"/>
        <v>2285</v>
      </c>
    </row>
    <row r="11" spans="1:6" ht="14.25">
      <c r="A11" s="5" t="s">
        <v>14</v>
      </c>
      <c r="B11" s="2">
        <v>255</v>
      </c>
      <c r="C11" s="3">
        <v>525</v>
      </c>
      <c r="D11" s="3">
        <v>252</v>
      </c>
      <c r="E11" s="4">
        <v>624</v>
      </c>
      <c r="F11" s="3">
        <f t="shared" si="0"/>
        <v>1656</v>
      </c>
    </row>
    <row r="12" spans="1:6" ht="14.25">
      <c r="A12" s="5" t="s">
        <v>15</v>
      </c>
      <c r="B12" s="2">
        <v>1422</v>
      </c>
      <c r="C12" s="3">
        <v>1431</v>
      </c>
      <c r="D12" s="3">
        <v>1254</v>
      </c>
      <c r="E12" s="4">
        <v>1439</v>
      </c>
      <c r="F12" s="3">
        <f t="shared" si="0"/>
        <v>5546</v>
      </c>
    </row>
    <row r="13" spans="1:6" ht="14.25">
      <c r="A13" s="5" t="s">
        <v>16</v>
      </c>
      <c r="B13" s="2">
        <v>854</v>
      </c>
      <c r="C13" s="3">
        <v>364</v>
      </c>
      <c r="D13" s="3">
        <v>474</v>
      </c>
      <c r="E13" s="4">
        <v>743</v>
      </c>
      <c r="F13" s="3">
        <f t="shared" si="0"/>
        <v>2435</v>
      </c>
    </row>
    <row r="14" spans="1:6" ht="15" thickBot="1">
      <c r="A14" s="5" t="s">
        <v>17</v>
      </c>
      <c r="B14" s="2">
        <v>1209</v>
      </c>
      <c r="C14" s="3">
        <v>998</v>
      </c>
      <c r="D14" s="3">
        <v>1432</v>
      </c>
      <c r="E14" s="4">
        <v>1687</v>
      </c>
      <c r="F14" s="3">
        <f t="shared" si="0"/>
        <v>5326</v>
      </c>
    </row>
    <row r="15" spans="1:6" ht="15">
      <c r="A15" s="9" t="s">
        <v>8</v>
      </c>
      <c r="B15" s="10">
        <f>SUM(B6:B14)</f>
        <v>6722</v>
      </c>
      <c r="C15" s="11">
        <f>SUM(C6:C14)</f>
        <v>6238</v>
      </c>
      <c r="D15" s="11">
        <f>SUM(D6:D14)</f>
        <v>6350</v>
      </c>
      <c r="E15" s="12">
        <f>SUM(E6:E14)</f>
        <v>8548</v>
      </c>
      <c r="F15" s="11">
        <f>SUM(B15:E15)</f>
        <v>27858</v>
      </c>
    </row>
  </sheetData>
  <mergeCells count="2">
    <mergeCell ref="A2:F2"/>
    <mergeCell ref="A3:F3"/>
  </mergeCells>
  <phoneticPr fontId="5" type="noConversion"/>
  <pageMargins left="0.75" right="0.75" top="1" bottom="1" header="0.5" footer="0.5"/>
  <pageSetup paperSize="9" orientation="portrait" horizontalDpi="200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selection activeCell="C29" sqref="C29"/>
    </sheetView>
  </sheetViews>
  <sheetFormatPr defaultRowHeight="12.75"/>
  <cols>
    <col min="1" max="1" width="24.140625" bestFit="1" customWidth="1"/>
    <col min="2" max="5" width="15.7109375" customWidth="1"/>
  </cols>
  <sheetData>
    <row r="1" spans="1:5" ht="23.25" thickBot="1">
      <c r="A1" s="36" t="s">
        <v>18</v>
      </c>
      <c r="B1" s="36"/>
      <c r="C1" s="36"/>
      <c r="D1" s="36"/>
      <c r="E1" s="33"/>
    </row>
    <row r="2" spans="1:5" ht="15.75" thickTop="1">
      <c r="B2" s="32" t="s">
        <v>19</v>
      </c>
      <c r="C2" s="32" t="s">
        <v>20</v>
      </c>
      <c r="D2" s="32" t="s">
        <v>21</v>
      </c>
      <c r="E2" s="32" t="s">
        <v>8</v>
      </c>
    </row>
    <row r="3" spans="1:5" ht="18" thickBot="1">
      <c r="A3" s="26" t="s">
        <v>22</v>
      </c>
      <c r="B3" s="26"/>
      <c r="C3" s="26"/>
      <c r="D3" s="26"/>
      <c r="E3" s="26"/>
    </row>
    <row r="4" spans="1:5" ht="15.75" thickTop="1">
      <c r="A4" s="23" t="s">
        <v>23</v>
      </c>
      <c r="B4" s="31">
        <v>5432</v>
      </c>
      <c r="C4" s="31">
        <v>8542</v>
      </c>
      <c r="D4" s="31">
        <v>5890</v>
      </c>
      <c r="E4" s="30">
        <f>SUM(B4:D4)</f>
        <v>19864</v>
      </c>
    </row>
    <row r="5" spans="1:5" ht="15">
      <c r="A5" s="23" t="s">
        <v>24</v>
      </c>
      <c r="B5" s="29">
        <v>495</v>
      </c>
      <c r="C5" s="22">
        <v>789</v>
      </c>
      <c r="D5" s="22">
        <v>999</v>
      </c>
      <c r="E5" s="21"/>
    </row>
    <row r="6" spans="1:5" ht="15.75" thickBot="1">
      <c r="A6" s="15" t="s">
        <v>25</v>
      </c>
      <c r="B6" s="14">
        <f>B4*B5</f>
        <v>2688840</v>
      </c>
      <c r="C6" s="14">
        <f>C4*C5</f>
        <v>6739638</v>
      </c>
      <c r="D6" s="14">
        <f>D4*D5</f>
        <v>5884110</v>
      </c>
      <c r="E6" s="14">
        <f>SUM(B6:D6)</f>
        <v>15312588</v>
      </c>
    </row>
    <row r="7" spans="1:5" ht="13.5" thickTop="1">
      <c r="B7" s="19"/>
      <c r="C7" s="19"/>
      <c r="D7" s="19"/>
      <c r="E7" s="19"/>
    </row>
    <row r="8" spans="1:5" ht="18" thickBot="1">
      <c r="A8" s="26" t="s">
        <v>26</v>
      </c>
      <c r="B8" s="25"/>
      <c r="C8" s="25"/>
      <c r="D8" s="25"/>
      <c r="E8" s="25"/>
    </row>
    <row r="9" spans="1:5" ht="15.75" thickTop="1">
      <c r="A9" s="23" t="s">
        <v>27</v>
      </c>
      <c r="B9" s="22">
        <v>324500</v>
      </c>
      <c r="C9" s="22">
        <v>562405</v>
      </c>
      <c r="D9" s="22">
        <v>432000</v>
      </c>
      <c r="E9" s="24">
        <f>SUM(B9:D9)</f>
        <v>1318905</v>
      </c>
    </row>
    <row r="10" spans="1:5" ht="15">
      <c r="A10" s="23" t="s">
        <v>28</v>
      </c>
      <c r="B10" s="22">
        <v>239900</v>
      </c>
      <c r="C10" s="22">
        <v>456987</v>
      </c>
      <c r="D10" s="22">
        <v>654439</v>
      </c>
      <c r="E10" s="24">
        <f>SUM(B10:D10)</f>
        <v>1351326</v>
      </c>
    </row>
    <row r="11" spans="1:5" ht="15">
      <c r="A11" s="23" t="s">
        <v>29</v>
      </c>
      <c r="B11" s="22">
        <v>465890</v>
      </c>
      <c r="C11" s="22">
        <v>345221</v>
      </c>
      <c r="D11" s="22">
        <v>456324</v>
      </c>
      <c r="E11" s="21">
        <f>SUM(B11:D11)</f>
        <v>1267435</v>
      </c>
    </row>
    <row r="12" spans="1:5" ht="15.75" thickBot="1">
      <c r="A12" s="15" t="s">
        <v>30</v>
      </c>
      <c r="B12" s="14">
        <f>SUM(B9:B11)</f>
        <v>1030290</v>
      </c>
      <c r="C12" s="14">
        <f>SUM(C9:C11)</f>
        <v>1364613</v>
      </c>
      <c r="D12" s="14">
        <f>SUM(D9:D11)</f>
        <v>1542763</v>
      </c>
      <c r="E12" s="14">
        <f>SUM(B12:D12)</f>
        <v>3937666</v>
      </c>
    </row>
    <row r="13" spans="1:5" ht="13.5" thickTop="1">
      <c r="A13" s="20"/>
      <c r="B13" s="19"/>
      <c r="C13" s="19"/>
      <c r="D13" s="19"/>
      <c r="E13" s="28"/>
    </row>
    <row r="14" spans="1:5" ht="15.75" thickBot="1">
      <c r="A14" s="15" t="s">
        <v>31</v>
      </c>
      <c r="B14" s="14">
        <f>B6-B12</f>
        <v>1658550</v>
      </c>
      <c r="C14" s="14">
        <f>C6-C12</f>
        <v>5375025</v>
      </c>
      <c r="D14" s="14">
        <f>D6-D12</f>
        <v>4341347</v>
      </c>
      <c r="E14" s="14">
        <f>SUM(B14:D14)</f>
        <v>11374922</v>
      </c>
    </row>
    <row r="15" spans="1:5" ht="13.5" thickTop="1">
      <c r="A15" s="20"/>
      <c r="B15" s="19"/>
      <c r="C15" s="19"/>
      <c r="D15" s="19"/>
      <c r="E15" s="27"/>
    </row>
    <row r="16" spans="1:5" ht="18" thickBot="1">
      <c r="A16" s="26" t="s">
        <v>32</v>
      </c>
      <c r="B16" s="25"/>
      <c r="C16" s="25"/>
      <c r="D16" s="25"/>
      <c r="E16" s="25"/>
    </row>
    <row r="17" spans="1:5" ht="15.75" thickTop="1">
      <c r="A17" s="23" t="s">
        <v>33</v>
      </c>
      <c r="B17" s="22">
        <v>123400</v>
      </c>
      <c r="C17" s="22">
        <v>156780</v>
      </c>
      <c r="D17" s="22">
        <v>198700</v>
      </c>
      <c r="E17" s="24">
        <f>SUM(B17:D17)</f>
        <v>478880</v>
      </c>
    </row>
    <row r="18" spans="1:5" ht="15">
      <c r="A18" s="23" t="s">
        <v>34</v>
      </c>
      <c r="B18" s="22">
        <v>167905</v>
      </c>
      <c r="C18" s="22">
        <v>243789</v>
      </c>
      <c r="D18" s="22">
        <v>135908</v>
      </c>
      <c r="E18" s="24">
        <f>SUM(B18:D18)</f>
        <v>547602</v>
      </c>
    </row>
    <row r="19" spans="1:5" ht="15">
      <c r="A19" s="23" t="s">
        <v>35</v>
      </c>
      <c r="B19" s="22">
        <v>40000</v>
      </c>
      <c r="C19" s="22">
        <v>56321</v>
      </c>
      <c r="D19" s="22">
        <v>52431</v>
      </c>
      <c r="E19" s="21">
        <f>SUM(B19:D19)</f>
        <v>148752</v>
      </c>
    </row>
    <row r="20" spans="1:5" ht="15.75" thickBot="1">
      <c r="A20" s="15" t="s">
        <v>36</v>
      </c>
      <c r="B20" s="14">
        <f>SUM(B17:B19)</f>
        <v>331305</v>
      </c>
      <c r="C20" s="14">
        <f>SUM(C17:C19)</f>
        <v>456890</v>
      </c>
      <c r="D20" s="14">
        <f>SUM(D17:D19)</f>
        <v>387039</v>
      </c>
      <c r="E20" s="14">
        <f>SUM(B20:D20)</f>
        <v>1175234</v>
      </c>
    </row>
    <row r="21" spans="1:5" ht="13.5" thickTop="1">
      <c r="A21" s="20"/>
      <c r="B21" s="19"/>
      <c r="C21" s="19"/>
      <c r="D21" s="19"/>
      <c r="E21" s="18"/>
    </row>
    <row r="22" spans="1:5" ht="20.25" thickBot="1">
      <c r="A22" s="17" t="s">
        <v>37</v>
      </c>
      <c r="B22" s="16"/>
      <c r="C22" s="16"/>
      <c r="D22" s="16"/>
      <c r="E22" s="16"/>
    </row>
    <row r="23" spans="1:5" ht="16.5" thickTop="1" thickBot="1">
      <c r="A23" s="15" t="s">
        <v>38</v>
      </c>
      <c r="B23" s="14">
        <f>B14-B20</f>
        <v>1327245</v>
      </c>
      <c r="C23" s="14">
        <f>C14-C20</f>
        <v>4918135</v>
      </c>
      <c r="D23" s="14">
        <f>D14-D20</f>
        <v>3954308</v>
      </c>
      <c r="E23" s="14">
        <f>SUM(B23:D23)</f>
        <v>10199688</v>
      </c>
    </row>
    <row r="24" spans="1:5" ht="13.5" thickTop="1">
      <c r="B24" s="13"/>
      <c r="C24" s="13"/>
      <c r="D24" s="13"/>
    </row>
  </sheetData>
  <mergeCells count="1">
    <mergeCell ref="A1:D1"/>
  </mergeCells>
  <pageMargins left="0.75" right="0.75" top="1" bottom="1" header="0.5" footer="0.5"/>
  <pageSetup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File</dc:title>
  <dc:subject>Integration 2</dc:subject>
  <dc:creator>Karen Stevens</dc:creator>
  <cp:keywords>Course Technology</cp:keywords>
  <dc:description/>
  <cp:lastModifiedBy>Adna Salković</cp:lastModifiedBy>
  <cp:revision/>
  <dcterms:created xsi:type="dcterms:W3CDTF">1999-12-11T13:08:00Z</dcterms:created>
  <dcterms:modified xsi:type="dcterms:W3CDTF">2024-05-25T18:59:10Z</dcterms:modified>
  <cp:category/>
  <cp:contentStatus/>
</cp:coreProperties>
</file>